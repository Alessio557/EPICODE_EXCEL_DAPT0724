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aless\OneDrive\Desktop\Epicode\M1 - Excel\W1D1\"/>
    </mc:Choice>
  </mc:AlternateContent>
  <xr:revisionPtr revIDLastSave="0" documentId="13_ncr:1_{5F72A1BD-726A-4469-B52A-DF0690965D8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rcheggio" sheetId="1" r:id="rId1"/>
    <sheet name="Frutta" sheetId="2" r:id="rId2"/>
  </sheets>
  <definedNames>
    <definedName name="_xlnm._FilterDatabase" localSheetId="1" hidden="1">Frutta!$A$1:$Z$47</definedName>
  </definedNames>
  <calcPr calcId="191029"/>
</workbook>
</file>

<file path=xl/calcChain.xml><?xml version="1.0" encoding="utf-8"?>
<calcChain xmlns="http://schemas.openxmlformats.org/spreadsheetml/2006/main">
  <c r="G3" i="2" l="1"/>
  <c r="G4" i="2"/>
  <c r="G5" i="2"/>
  <c r="G6" i="2"/>
  <c r="G2" i="2"/>
  <c r="F3" i="2"/>
  <c r="F4" i="2"/>
  <c r="F5" i="2"/>
  <c r="F6" i="2"/>
  <c r="F2" i="2"/>
  <c r="E3" i="2"/>
  <c r="E4" i="2"/>
  <c r="E5" i="2"/>
  <c r="E6" i="2"/>
  <c r="E2" i="2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C2" i="1"/>
  <c r="D2" i="1" s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</calcChain>
</file>

<file path=xl/sharedStrings.xml><?xml version="1.0" encoding="utf-8"?>
<sst xmlns="http://schemas.openxmlformats.org/spreadsheetml/2006/main" count="162" uniqueCount="114">
  <si>
    <t>TARGA</t>
  </si>
  <si>
    <t>ORE PARCHEGGIATE</t>
  </si>
  <si>
    <t>TIPOLOGIA VEICOLO</t>
  </si>
  <si>
    <t>COSTO</t>
  </si>
  <si>
    <t>AC234DF</t>
  </si>
  <si>
    <t>LM789GH</t>
  </si>
  <si>
    <t>PQ456IJ</t>
  </si>
  <si>
    <t>UV123KL</t>
  </si>
  <si>
    <t>WX789MN</t>
  </si>
  <si>
    <t>YZ012OP</t>
  </si>
  <si>
    <t>AB345QR</t>
  </si>
  <si>
    <t>CD678ST</t>
  </si>
  <si>
    <t>EF901UV</t>
  </si>
  <si>
    <t>GH234WX</t>
  </si>
  <si>
    <t>IJ567YZ</t>
  </si>
  <si>
    <t>KL890AB</t>
  </si>
  <si>
    <t>MN123CD</t>
  </si>
  <si>
    <t>OP456EF</t>
  </si>
  <si>
    <t>QR789GH</t>
  </si>
  <si>
    <t>ST012IJ</t>
  </si>
  <si>
    <t>UV345KL</t>
  </si>
  <si>
    <t>WX678MN</t>
  </si>
  <si>
    <t>YZ901OP</t>
  </si>
  <si>
    <t>AB234QR</t>
  </si>
  <si>
    <t>CD567ST</t>
  </si>
  <si>
    <t>EF890UV</t>
  </si>
  <si>
    <t>GH123WX</t>
  </si>
  <si>
    <t>IJ456YZ</t>
  </si>
  <si>
    <t>KL789AB</t>
  </si>
  <si>
    <t>MN012CD</t>
  </si>
  <si>
    <t>OP345EF</t>
  </si>
  <si>
    <t>QR678GH</t>
  </si>
  <si>
    <t>ST901IJ</t>
  </si>
  <si>
    <t>UV234KL</t>
  </si>
  <si>
    <t>WX567MN</t>
  </si>
  <si>
    <t>YZ890OP</t>
  </si>
  <si>
    <t>AB123QR</t>
  </si>
  <si>
    <t>CD456ST</t>
  </si>
  <si>
    <t>EF789UV</t>
  </si>
  <si>
    <t>GH012WX</t>
  </si>
  <si>
    <t>IJ345YZ</t>
  </si>
  <si>
    <t>KL678AB</t>
  </si>
  <si>
    <t>MN901CD</t>
  </si>
  <si>
    <t>OP234EF</t>
  </si>
  <si>
    <t>QR567GH</t>
  </si>
  <si>
    <t>ST890IJ</t>
  </si>
  <si>
    <t>WX456MN</t>
  </si>
  <si>
    <t>YZ789OP</t>
  </si>
  <si>
    <t>AB012QR</t>
  </si>
  <si>
    <t>CD345ST</t>
  </si>
  <si>
    <t>EF678UV</t>
  </si>
  <si>
    <t>GH901WX</t>
  </si>
  <si>
    <t>IJ234YZ</t>
  </si>
  <si>
    <t>KL567AB</t>
  </si>
  <si>
    <t>MN890CD</t>
  </si>
  <si>
    <t>OP123EF</t>
  </si>
  <si>
    <t>QR456GH</t>
  </si>
  <si>
    <t>ST789IJ</t>
  </si>
  <si>
    <t>UV012KL</t>
  </si>
  <si>
    <t>WX345MN</t>
  </si>
  <si>
    <t>YZ678OP</t>
  </si>
  <si>
    <t>AB901QR</t>
  </si>
  <si>
    <t>CD234ST</t>
  </si>
  <si>
    <t>EF567UV</t>
  </si>
  <si>
    <t>GH890WX</t>
  </si>
  <si>
    <t>IJ123YZ</t>
  </si>
  <si>
    <t>KL456AB</t>
  </si>
  <si>
    <t>MN789CD</t>
  </si>
  <si>
    <t>OP012EF</t>
  </si>
  <si>
    <t>QR345GH</t>
  </si>
  <si>
    <t>ST678IJ</t>
  </si>
  <si>
    <t>UV890KL</t>
  </si>
  <si>
    <t>WX123MN</t>
  </si>
  <si>
    <t>YZ456OP</t>
  </si>
  <si>
    <t>AB789QR</t>
  </si>
  <si>
    <t>CD012ST</t>
  </si>
  <si>
    <t>EF345UV</t>
  </si>
  <si>
    <t>GH678WX</t>
  </si>
  <si>
    <t>IJ901YZ</t>
  </si>
  <si>
    <t>KL234AB</t>
  </si>
  <si>
    <t>MN567CD</t>
  </si>
  <si>
    <t>OP890EF</t>
  </si>
  <si>
    <t>QR123GH</t>
  </si>
  <si>
    <t>ST456IJ</t>
  </si>
  <si>
    <t>UV789KL</t>
  </si>
  <si>
    <t>WX012MN</t>
  </si>
  <si>
    <t>YZ345OP</t>
  </si>
  <si>
    <t>AB678QR</t>
  </si>
  <si>
    <t>CD901ST</t>
  </si>
  <si>
    <t>EF234UV</t>
  </si>
  <si>
    <t>GH567WX</t>
  </si>
  <si>
    <t>IJ890YZ</t>
  </si>
  <si>
    <t>KL123AB</t>
  </si>
  <si>
    <t>MN456CD</t>
  </si>
  <si>
    <t>OP789EF</t>
  </si>
  <si>
    <t>QR012GH</t>
  </si>
  <si>
    <t>ST345IJ</t>
  </si>
  <si>
    <t>UV678KL</t>
  </si>
  <si>
    <t>WX901MN</t>
  </si>
  <si>
    <t>YZ234OP</t>
  </si>
  <si>
    <t>AB567QR</t>
  </si>
  <si>
    <t>CD890ST</t>
  </si>
  <si>
    <t>EF123UV</t>
  </si>
  <si>
    <t>FRUTTA</t>
  </si>
  <si>
    <t>PESO</t>
  </si>
  <si>
    <t>Mela</t>
  </si>
  <si>
    <t>Banana</t>
  </si>
  <si>
    <t>Arancia</t>
  </si>
  <si>
    <t>Pera</t>
  </si>
  <si>
    <t>Uva</t>
  </si>
  <si>
    <t>SOGGETTO</t>
  </si>
  <si>
    <t>CONTEGGIO</t>
  </si>
  <si>
    <t>SOMMA</t>
  </si>
  <si>
    <t>COSTO TOTALE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</si>
</sst>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1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2" fontId="1" fillId="0" borderId="0" xfId="0" applyNumberFormat="1" applyFont="1"/>
    <xf numFmtId="2" fontId="2" fillId="0" borderId="0" xfId="0" applyNumberFormat="1" applyFont="1"/>
    <xf numFmtId="2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1"/>
  <sheetViews>
    <sheetView workbookViewId="0">
      <selection activeCell="D2" sqref="D2:D101"/>
    </sheetView>
  </sheetViews>
  <sheetFormatPr defaultColWidth="12.6640625" defaultRowHeight="15.75" customHeight="1" x14ac:dyDescent="0.25"/>
  <cols>
    <col min="2" max="2" width="25.33203125" style="5" customWidth="1"/>
    <col min="3" max="3" width="20.109375" customWidth="1"/>
    <col min="4" max="4" width="22.77734375" customWidth="1"/>
  </cols>
  <sheetData>
    <row r="1" spans="1:26" x14ac:dyDescent="0.25">
      <c r="A1" s="1" t="s">
        <v>0</v>
      </c>
      <c r="B1" s="3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2" t="s">
        <v>4</v>
      </c>
      <c r="B2" s="4">
        <v>1.5</v>
      </c>
      <c r="C2">
        <f>IF((LEFT(A2,1))&lt;="f",0,IF((LEFT(A2,1))&lt;="M",1,2))</f>
        <v>0</v>
      </c>
      <c r="D2">
        <f>IF(C2=0,B2*4,IF(C2=1,B2*3,IF(C2=2,B2*2)))</f>
        <v>6</v>
      </c>
    </row>
    <row r="3" spans="1:26" x14ac:dyDescent="0.25">
      <c r="A3" s="2" t="s">
        <v>5</v>
      </c>
      <c r="B3" s="4">
        <v>2.5</v>
      </c>
      <c r="C3">
        <f t="shared" ref="C3:C8" si="0">IF((LEFT(A3,1))&lt;="f",0,IF((LEFT(A3,1))&lt;="M",1,2))</f>
        <v>1</v>
      </c>
      <c r="D3">
        <f t="shared" ref="D3:D66" si="1">IF(C3=0,B3*4,IF(C3=1,B3*3,IF(C3=2,B3*2)))</f>
        <v>7.5</v>
      </c>
    </row>
    <row r="4" spans="1:26" x14ac:dyDescent="0.25">
      <c r="A4" s="2" t="s">
        <v>6</v>
      </c>
      <c r="B4" s="4">
        <v>3.5</v>
      </c>
      <c r="C4">
        <f t="shared" si="0"/>
        <v>2</v>
      </c>
      <c r="D4">
        <f t="shared" si="1"/>
        <v>7</v>
      </c>
    </row>
    <row r="5" spans="1:26" x14ac:dyDescent="0.25">
      <c r="A5" s="2" t="s">
        <v>7</v>
      </c>
      <c r="B5" s="4">
        <v>4.5</v>
      </c>
      <c r="C5">
        <f t="shared" si="0"/>
        <v>2</v>
      </c>
      <c r="D5">
        <f t="shared" si="1"/>
        <v>9</v>
      </c>
    </row>
    <row r="6" spans="1:26" x14ac:dyDescent="0.25">
      <c r="A6" s="2" t="s">
        <v>8</v>
      </c>
      <c r="B6" s="4">
        <v>5.5</v>
      </c>
      <c r="C6">
        <f t="shared" si="0"/>
        <v>2</v>
      </c>
      <c r="D6">
        <f t="shared" si="1"/>
        <v>11</v>
      </c>
    </row>
    <row r="7" spans="1:26" x14ac:dyDescent="0.25">
      <c r="A7" s="2" t="s">
        <v>9</v>
      </c>
      <c r="B7" s="4">
        <v>6.5</v>
      </c>
      <c r="C7">
        <f t="shared" si="0"/>
        <v>2</v>
      </c>
      <c r="D7">
        <f t="shared" si="1"/>
        <v>13</v>
      </c>
    </row>
    <row r="8" spans="1:26" x14ac:dyDescent="0.25">
      <c r="A8" s="2" t="s">
        <v>10</v>
      </c>
      <c r="B8" s="4">
        <v>7.5</v>
      </c>
      <c r="C8">
        <f t="shared" si="0"/>
        <v>0</v>
      </c>
      <c r="D8">
        <f t="shared" si="1"/>
        <v>30</v>
      </c>
    </row>
    <row r="9" spans="1:26" x14ac:dyDescent="0.25">
      <c r="A9" s="2" t="s">
        <v>11</v>
      </c>
      <c r="B9" s="4">
        <v>8.5</v>
      </c>
      <c r="C9">
        <f t="shared" ref="C3:C66" si="2">IF((LEFT(A9,1))&lt;="f",0,IF((LEFT(A9,1))&lt;="M",1,2))</f>
        <v>0</v>
      </c>
      <c r="D9">
        <f t="shared" si="1"/>
        <v>34</v>
      </c>
    </row>
    <row r="10" spans="1:26" x14ac:dyDescent="0.25">
      <c r="A10" s="2" t="s">
        <v>12</v>
      </c>
      <c r="B10" s="4">
        <v>9.5</v>
      </c>
      <c r="C10">
        <f t="shared" si="2"/>
        <v>0</v>
      </c>
      <c r="D10">
        <f t="shared" si="1"/>
        <v>38</v>
      </c>
    </row>
    <row r="11" spans="1:26" x14ac:dyDescent="0.25">
      <c r="A11" s="2" t="s">
        <v>13</v>
      </c>
      <c r="B11" s="4">
        <v>10</v>
      </c>
      <c r="C11">
        <f t="shared" si="2"/>
        <v>1</v>
      </c>
      <c r="D11">
        <f t="shared" si="1"/>
        <v>30</v>
      </c>
    </row>
    <row r="12" spans="1:26" x14ac:dyDescent="0.25">
      <c r="A12" s="2" t="s">
        <v>14</v>
      </c>
      <c r="B12" s="4">
        <v>0.5</v>
      </c>
      <c r="C12">
        <f t="shared" si="2"/>
        <v>1</v>
      </c>
      <c r="D12">
        <f t="shared" si="1"/>
        <v>1.5</v>
      </c>
    </row>
    <row r="13" spans="1:26" x14ac:dyDescent="0.25">
      <c r="A13" s="2" t="s">
        <v>15</v>
      </c>
      <c r="B13" s="4">
        <v>1</v>
      </c>
      <c r="C13">
        <f t="shared" si="2"/>
        <v>1</v>
      </c>
      <c r="D13">
        <f t="shared" si="1"/>
        <v>3</v>
      </c>
    </row>
    <row r="14" spans="1:26" x14ac:dyDescent="0.25">
      <c r="A14" s="2" t="s">
        <v>16</v>
      </c>
      <c r="B14" s="4">
        <v>2</v>
      </c>
      <c r="C14">
        <f t="shared" si="2"/>
        <v>1</v>
      </c>
      <c r="D14">
        <f t="shared" si="1"/>
        <v>6</v>
      </c>
    </row>
    <row r="15" spans="1:26" x14ac:dyDescent="0.25">
      <c r="A15" s="2" t="s">
        <v>17</v>
      </c>
      <c r="B15" s="4">
        <v>3</v>
      </c>
      <c r="C15">
        <f t="shared" si="2"/>
        <v>2</v>
      </c>
      <c r="D15">
        <f t="shared" si="1"/>
        <v>6</v>
      </c>
    </row>
    <row r="16" spans="1:26" x14ac:dyDescent="0.25">
      <c r="A16" s="2" t="s">
        <v>18</v>
      </c>
      <c r="B16" s="4">
        <v>4</v>
      </c>
      <c r="C16">
        <f t="shared" si="2"/>
        <v>2</v>
      </c>
      <c r="D16">
        <f t="shared" si="1"/>
        <v>8</v>
      </c>
    </row>
    <row r="17" spans="1:4" x14ac:dyDescent="0.25">
      <c r="A17" s="2" t="s">
        <v>19</v>
      </c>
      <c r="B17" s="4">
        <v>5</v>
      </c>
      <c r="C17">
        <f t="shared" si="2"/>
        <v>2</v>
      </c>
      <c r="D17">
        <f t="shared" si="1"/>
        <v>10</v>
      </c>
    </row>
    <row r="18" spans="1:4" x14ac:dyDescent="0.25">
      <c r="A18" s="2" t="s">
        <v>20</v>
      </c>
      <c r="B18" s="4">
        <v>6</v>
      </c>
      <c r="C18">
        <f t="shared" si="2"/>
        <v>2</v>
      </c>
      <c r="D18">
        <f t="shared" si="1"/>
        <v>12</v>
      </c>
    </row>
    <row r="19" spans="1:4" x14ac:dyDescent="0.25">
      <c r="A19" s="2" t="s">
        <v>21</v>
      </c>
      <c r="B19" s="4">
        <v>7</v>
      </c>
      <c r="C19">
        <f t="shared" si="2"/>
        <v>2</v>
      </c>
      <c r="D19">
        <f t="shared" si="1"/>
        <v>14</v>
      </c>
    </row>
    <row r="20" spans="1:4" x14ac:dyDescent="0.25">
      <c r="A20" s="2" t="s">
        <v>22</v>
      </c>
      <c r="B20" s="4">
        <v>8</v>
      </c>
      <c r="C20">
        <f t="shared" si="2"/>
        <v>2</v>
      </c>
      <c r="D20">
        <f t="shared" si="1"/>
        <v>16</v>
      </c>
    </row>
    <row r="21" spans="1:4" x14ac:dyDescent="0.25">
      <c r="A21" s="2" t="s">
        <v>23</v>
      </c>
      <c r="B21" s="4">
        <v>9</v>
      </c>
      <c r="C21">
        <f t="shared" si="2"/>
        <v>0</v>
      </c>
      <c r="D21">
        <f t="shared" si="1"/>
        <v>36</v>
      </c>
    </row>
    <row r="22" spans="1:4" x14ac:dyDescent="0.25">
      <c r="A22" s="2" t="s">
        <v>24</v>
      </c>
      <c r="B22" s="4">
        <v>10</v>
      </c>
      <c r="C22">
        <f t="shared" si="2"/>
        <v>0</v>
      </c>
      <c r="D22">
        <f t="shared" si="1"/>
        <v>40</v>
      </c>
    </row>
    <row r="23" spans="1:4" x14ac:dyDescent="0.25">
      <c r="A23" s="2" t="s">
        <v>25</v>
      </c>
      <c r="B23" s="4">
        <v>0.5</v>
      </c>
      <c r="C23">
        <f t="shared" si="2"/>
        <v>0</v>
      </c>
      <c r="D23">
        <f t="shared" si="1"/>
        <v>2</v>
      </c>
    </row>
    <row r="24" spans="1:4" x14ac:dyDescent="0.25">
      <c r="A24" s="2" t="s">
        <v>26</v>
      </c>
      <c r="B24" s="4">
        <v>1</v>
      </c>
      <c r="C24">
        <f t="shared" si="2"/>
        <v>1</v>
      </c>
      <c r="D24">
        <f t="shared" si="1"/>
        <v>3</v>
      </c>
    </row>
    <row r="25" spans="1:4" x14ac:dyDescent="0.25">
      <c r="A25" s="2" t="s">
        <v>27</v>
      </c>
      <c r="B25" s="4">
        <v>2</v>
      </c>
      <c r="C25">
        <f t="shared" si="2"/>
        <v>1</v>
      </c>
      <c r="D25">
        <f t="shared" si="1"/>
        <v>6</v>
      </c>
    </row>
    <row r="26" spans="1:4" x14ac:dyDescent="0.25">
      <c r="A26" s="2" t="s">
        <v>28</v>
      </c>
      <c r="B26" s="4">
        <v>3</v>
      </c>
      <c r="C26">
        <f t="shared" si="2"/>
        <v>1</v>
      </c>
      <c r="D26">
        <f t="shared" si="1"/>
        <v>9</v>
      </c>
    </row>
    <row r="27" spans="1:4" x14ac:dyDescent="0.25">
      <c r="A27" s="2" t="s">
        <v>29</v>
      </c>
      <c r="B27" s="4">
        <v>4</v>
      </c>
      <c r="C27">
        <f t="shared" si="2"/>
        <v>1</v>
      </c>
      <c r="D27">
        <f t="shared" si="1"/>
        <v>12</v>
      </c>
    </row>
    <row r="28" spans="1:4" x14ac:dyDescent="0.25">
      <c r="A28" s="2" t="s">
        <v>30</v>
      </c>
      <c r="B28" s="4">
        <v>5</v>
      </c>
      <c r="C28">
        <f t="shared" si="2"/>
        <v>2</v>
      </c>
      <c r="D28">
        <f t="shared" si="1"/>
        <v>10</v>
      </c>
    </row>
    <row r="29" spans="1:4" x14ac:dyDescent="0.25">
      <c r="A29" s="2" t="s">
        <v>31</v>
      </c>
      <c r="B29" s="4">
        <v>6</v>
      </c>
      <c r="C29">
        <f t="shared" si="2"/>
        <v>2</v>
      </c>
      <c r="D29">
        <f t="shared" si="1"/>
        <v>12</v>
      </c>
    </row>
    <row r="30" spans="1:4" x14ac:dyDescent="0.25">
      <c r="A30" s="2" t="s">
        <v>32</v>
      </c>
      <c r="B30" s="4">
        <v>7</v>
      </c>
      <c r="C30">
        <f t="shared" si="2"/>
        <v>2</v>
      </c>
      <c r="D30">
        <f t="shared" si="1"/>
        <v>14</v>
      </c>
    </row>
    <row r="31" spans="1:4" x14ac:dyDescent="0.25">
      <c r="A31" s="2" t="s">
        <v>33</v>
      </c>
      <c r="B31" s="4">
        <v>8</v>
      </c>
      <c r="C31">
        <f t="shared" si="2"/>
        <v>2</v>
      </c>
      <c r="D31">
        <f t="shared" si="1"/>
        <v>16</v>
      </c>
    </row>
    <row r="32" spans="1:4" x14ac:dyDescent="0.25">
      <c r="A32" s="2" t="s">
        <v>34</v>
      </c>
      <c r="B32" s="4">
        <v>9</v>
      </c>
      <c r="C32">
        <f t="shared" si="2"/>
        <v>2</v>
      </c>
      <c r="D32">
        <f t="shared" si="1"/>
        <v>18</v>
      </c>
    </row>
    <row r="33" spans="1:4" x14ac:dyDescent="0.25">
      <c r="A33" s="2" t="s">
        <v>35</v>
      </c>
      <c r="B33" s="4">
        <v>10</v>
      </c>
      <c r="C33">
        <f t="shared" si="2"/>
        <v>2</v>
      </c>
      <c r="D33">
        <f t="shared" si="1"/>
        <v>20</v>
      </c>
    </row>
    <row r="34" spans="1:4" x14ac:dyDescent="0.25">
      <c r="A34" s="2" t="s">
        <v>36</v>
      </c>
      <c r="B34" s="4">
        <v>0.5</v>
      </c>
      <c r="C34">
        <f t="shared" si="2"/>
        <v>0</v>
      </c>
      <c r="D34">
        <f t="shared" si="1"/>
        <v>2</v>
      </c>
    </row>
    <row r="35" spans="1:4" x14ac:dyDescent="0.25">
      <c r="A35" s="2" t="s">
        <v>37</v>
      </c>
      <c r="B35" s="4">
        <v>1</v>
      </c>
      <c r="C35">
        <f t="shared" si="2"/>
        <v>0</v>
      </c>
      <c r="D35">
        <f t="shared" si="1"/>
        <v>4</v>
      </c>
    </row>
    <row r="36" spans="1:4" x14ac:dyDescent="0.25">
      <c r="A36" s="2" t="s">
        <v>38</v>
      </c>
      <c r="B36" s="4">
        <v>2</v>
      </c>
      <c r="C36">
        <f t="shared" si="2"/>
        <v>0</v>
      </c>
      <c r="D36">
        <f t="shared" si="1"/>
        <v>8</v>
      </c>
    </row>
    <row r="37" spans="1:4" x14ac:dyDescent="0.25">
      <c r="A37" s="2" t="s">
        <v>39</v>
      </c>
      <c r="B37" s="4">
        <v>3</v>
      </c>
      <c r="C37">
        <f t="shared" si="2"/>
        <v>1</v>
      </c>
      <c r="D37">
        <f t="shared" si="1"/>
        <v>9</v>
      </c>
    </row>
    <row r="38" spans="1:4" x14ac:dyDescent="0.25">
      <c r="A38" s="2" t="s">
        <v>40</v>
      </c>
      <c r="B38" s="4">
        <v>4</v>
      </c>
      <c r="C38">
        <f t="shared" si="2"/>
        <v>1</v>
      </c>
      <c r="D38">
        <f t="shared" si="1"/>
        <v>12</v>
      </c>
    </row>
    <row r="39" spans="1:4" x14ac:dyDescent="0.25">
      <c r="A39" s="2" t="s">
        <v>41</v>
      </c>
      <c r="B39" s="4">
        <v>5</v>
      </c>
      <c r="C39">
        <f t="shared" si="2"/>
        <v>1</v>
      </c>
      <c r="D39">
        <f t="shared" si="1"/>
        <v>15</v>
      </c>
    </row>
    <row r="40" spans="1:4" x14ac:dyDescent="0.25">
      <c r="A40" s="2" t="s">
        <v>42</v>
      </c>
      <c r="B40" s="4">
        <v>6</v>
      </c>
      <c r="C40">
        <f t="shared" si="2"/>
        <v>1</v>
      </c>
      <c r="D40">
        <f t="shared" si="1"/>
        <v>18</v>
      </c>
    </row>
    <row r="41" spans="1:4" x14ac:dyDescent="0.25">
      <c r="A41" s="2" t="s">
        <v>43</v>
      </c>
      <c r="B41" s="4">
        <v>7</v>
      </c>
      <c r="C41">
        <f t="shared" si="2"/>
        <v>2</v>
      </c>
      <c r="D41">
        <f t="shared" si="1"/>
        <v>14</v>
      </c>
    </row>
    <row r="42" spans="1:4" x14ac:dyDescent="0.25">
      <c r="A42" s="2" t="s">
        <v>44</v>
      </c>
      <c r="B42" s="4">
        <v>8</v>
      </c>
      <c r="C42">
        <f t="shared" si="2"/>
        <v>2</v>
      </c>
      <c r="D42">
        <f t="shared" si="1"/>
        <v>16</v>
      </c>
    </row>
    <row r="43" spans="1:4" x14ac:dyDescent="0.25">
      <c r="A43" s="2" t="s">
        <v>45</v>
      </c>
      <c r="B43" s="4">
        <v>9</v>
      </c>
      <c r="C43">
        <f t="shared" si="2"/>
        <v>2</v>
      </c>
      <c r="D43">
        <f t="shared" si="1"/>
        <v>18</v>
      </c>
    </row>
    <row r="44" spans="1:4" x14ac:dyDescent="0.25">
      <c r="A44" s="2" t="s">
        <v>7</v>
      </c>
      <c r="B44" s="4">
        <v>10</v>
      </c>
      <c r="C44">
        <f t="shared" si="2"/>
        <v>2</v>
      </c>
      <c r="D44">
        <f t="shared" si="1"/>
        <v>20</v>
      </c>
    </row>
    <row r="45" spans="1:4" x14ac:dyDescent="0.25">
      <c r="A45" s="2" t="s">
        <v>46</v>
      </c>
      <c r="B45" s="4">
        <v>0.5</v>
      </c>
      <c r="C45">
        <f t="shared" si="2"/>
        <v>2</v>
      </c>
      <c r="D45">
        <f t="shared" si="1"/>
        <v>1</v>
      </c>
    </row>
    <row r="46" spans="1:4" x14ac:dyDescent="0.25">
      <c r="A46" s="2" t="s">
        <v>47</v>
      </c>
      <c r="B46" s="4">
        <v>1</v>
      </c>
      <c r="C46">
        <f t="shared" si="2"/>
        <v>2</v>
      </c>
      <c r="D46">
        <f t="shared" si="1"/>
        <v>2</v>
      </c>
    </row>
    <row r="47" spans="1:4" x14ac:dyDescent="0.25">
      <c r="A47" s="2" t="s">
        <v>48</v>
      </c>
      <c r="B47" s="4">
        <v>2</v>
      </c>
      <c r="C47">
        <f t="shared" si="2"/>
        <v>0</v>
      </c>
      <c r="D47">
        <f t="shared" si="1"/>
        <v>8</v>
      </c>
    </row>
    <row r="48" spans="1:4" x14ac:dyDescent="0.25">
      <c r="A48" s="2" t="s">
        <v>49</v>
      </c>
      <c r="B48" s="4">
        <v>3</v>
      </c>
      <c r="C48">
        <f t="shared" si="2"/>
        <v>0</v>
      </c>
      <c r="D48">
        <f t="shared" si="1"/>
        <v>12</v>
      </c>
    </row>
    <row r="49" spans="1:4" x14ac:dyDescent="0.25">
      <c r="A49" s="2" t="s">
        <v>50</v>
      </c>
      <c r="B49" s="4">
        <v>4</v>
      </c>
      <c r="C49">
        <f t="shared" si="2"/>
        <v>0</v>
      </c>
      <c r="D49">
        <f t="shared" si="1"/>
        <v>16</v>
      </c>
    </row>
    <row r="50" spans="1:4" x14ac:dyDescent="0.25">
      <c r="A50" s="2" t="s">
        <v>51</v>
      </c>
      <c r="B50" s="4">
        <v>5</v>
      </c>
      <c r="C50">
        <f t="shared" si="2"/>
        <v>1</v>
      </c>
      <c r="D50">
        <f t="shared" si="1"/>
        <v>15</v>
      </c>
    </row>
    <row r="51" spans="1:4" x14ac:dyDescent="0.25">
      <c r="A51" s="2" t="s">
        <v>52</v>
      </c>
      <c r="B51" s="4">
        <v>6</v>
      </c>
      <c r="C51">
        <f t="shared" si="2"/>
        <v>1</v>
      </c>
      <c r="D51">
        <f t="shared" si="1"/>
        <v>18</v>
      </c>
    </row>
    <row r="52" spans="1:4" x14ac:dyDescent="0.25">
      <c r="A52" s="2" t="s">
        <v>53</v>
      </c>
      <c r="B52" s="4">
        <v>7</v>
      </c>
      <c r="C52">
        <f t="shared" si="2"/>
        <v>1</v>
      </c>
      <c r="D52">
        <f t="shared" si="1"/>
        <v>21</v>
      </c>
    </row>
    <row r="53" spans="1:4" x14ac:dyDescent="0.25">
      <c r="A53" s="2" t="s">
        <v>54</v>
      </c>
      <c r="B53" s="4">
        <v>8</v>
      </c>
      <c r="C53">
        <f t="shared" si="2"/>
        <v>1</v>
      </c>
      <c r="D53">
        <f t="shared" si="1"/>
        <v>24</v>
      </c>
    </row>
    <row r="54" spans="1:4" x14ac:dyDescent="0.25">
      <c r="A54" s="2" t="s">
        <v>55</v>
      </c>
      <c r="B54" s="4">
        <v>9</v>
      </c>
      <c r="C54">
        <f t="shared" si="2"/>
        <v>2</v>
      </c>
      <c r="D54">
        <f t="shared" si="1"/>
        <v>18</v>
      </c>
    </row>
    <row r="55" spans="1:4" x14ac:dyDescent="0.25">
      <c r="A55" s="2" t="s">
        <v>56</v>
      </c>
      <c r="B55" s="4">
        <v>10</v>
      </c>
      <c r="C55">
        <f t="shared" si="2"/>
        <v>2</v>
      </c>
      <c r="D55">
        <f t="shared" si="1"/>
        <v>20</v>
      </c>
    </row>
    <row r="56" spans="1:4" x14ac:dyDescent="0.25">
      <c r="A56" s="2" t="s">
        <v>57</v>
      </c>
      <c r="B56" s="4">
        <v>0.5</v>
      </c>
      <c r="C56">
        <f t="shared" si="2"/>
        <v>2</v>
      </c>
      <c r="D56">
        <f t="shared" si="1"/>
        <v>1</v>
      </c>
    </row>
    <row r="57" spans="1:4" x14ac:dyDescent="0.25">
      <c r="A57" s="2" t="s">
        <v>58</v>
      </c>
      <c r="B57" s="4">
        <v>1</v>
      </c>
      <c r="C57">
        <f t="shared" si="2"/>
        <v>2</v>
      </c>
      <c r="D57">
        <f t="shared" si="1"/>
        <v>2</v>
      </c>
    </row>
    <row r="58" spans="1:4" x14ac:dyDescent="0.25">
      <c r="A58" s="2" t="s">
        <v>59</v>
      </c>
      <c r="B58" s="4">
        <v>2</v>
      </c>
      <c r="C58">
        <f t="shared" si="2"/>
        <v>2</v>
      </c>
      <c r="D58">
        <f t="shared" si="1"/>
        <v>4</v>
      </c>
    </row>
    <row r="59" spans="1:4" x14ac:dyDescent="0.25">
      <c r="A59" s="2" t="s">
        <v>60</v>
      </c>
      <c r="B59" s="4">
        <v>3</v>
      </c>
      <c r="C59">
        <f t="shared" si="2"/>
        <v>2</v>
      </c>
      <c r="D59">
        <f t="shared" si="1"/>
        <v>6</v>
      </c>
    </row>
    <row r="60" spans="1:4" x14ac:dyDescent="0.25">
      <c r="A60" s="2" t="s">
        <v>61</v>
      </c>
      <c r="B60" s="4">
        <v>4</v>
      </c>
      <c r="C60">
        <f t="shared" si="2"/>
        <v>0</v>
      </c>
      <c r="D60">
        <f t="shared" si="1"/>
        <v>16</v>
      </c>
    </row>
    <row r="61" spans="1:4" x14ac:dyDescent="0.25">
      <c r="A61" s="2" t="s">
        <v>62</v>
      </c>
      <c r="B61" s="4">
        <v>5</v>
      </c>
      <c r="C61">
        <f t="shared" si="2"/>
        <v>0</v>
      </c>
      <c r="D61">
        <f t="shared" si="1"/>
        <v>20</v>
      </c>
    </row>
    <row r="62" spans="1:4" x14ac:dyDescent="0.25">
      <c r="A62" s="2" t="s">
        <v>63</v>
      </c>
      <c r="B62" s="4">
        <v>6</v>
      </c>
      <c r="C62">
        <f t="shared" si="2"/>
        <v>0</v>
      </c>
      <c r="D62">
        <f t="shared" si="1"/>
        <v>24</v>
      </c>
    </row>
    <row r="63" spans="1:4" x14ac:dyDescent="0.25">
      <c r="A63" s="2" t="s">
        <v>64</v>
      </c>
      <c r="B63" s="4">
        <v>7</v>
      </c>
      <c r="C63">
        <f t="shared" si="2"/>
        <v>1</v>
      </c>
      <c r="D63">
        <f t="shared" si="1"/>
        <v>21</v>
      </c>
    </row>
    <row r="64" spans="1:4" x14ac:dyDescent="0.25">
      <c r="A64" s="2" t="s">
        <v>65</v>
      </c>
      <c r="B64" s="4">
        <v>8</v>
      </c>
      <c r="C64">
        <f t="shared" si="2"/>
        <v>1</v>
      </c>
      <c r="D64">
        <f t="shared" si="1"/>
        <v>24</v>
      </c>
    </row>
    <row r="65" spans="1:4" x14ac:dyDescent="0.25">
      <c r="A65" s="2" t="s">
        <v>66</v>
      </c>
      <c r="B65" s="4">
        <v>9</v>
      </c>
      <c r="C65">
        <f t="shared" si="2"/>
        <v>1</v>
      </c>
      <c r="D65">
        <f t="shared" si="1"/>
        <v>27</v>
      </c>
    </row>
    <row r="66" spans="1:4" x14ac:dyDescent="0.25">
      <c r="A66" s="2" t="s">
        <v>67</v>
      </c>
      <c r="B66" s="4">
        <v>10</v>
      </c>
      <c r="C66">
        <f t="shared" si="2"/>
        <v>1</v>
      </c>
      <c r="D66">
        <f t="shared" si="1"/>
        <v>30</v>
      </c>
    </row>
    <row r="67" spans="1:4" x14ac:dyDescent="0.25">
      <c r="A67" s="2" t="s">
        <v>68</v>
      </c>
      <c r="B67" s="4">
        <v>0.5</v>
      </c>
      <c r="C67">
        <f t="shared" ref="C67:C101" si="3">IF((LEFT(A67,1))&lt;="f",0,IF((LEFT(A67,1))&lt;="M",1,2))</f>
        <v>2</v>
      </c>
      <c r="D67">
        <f t="shared" ref="D67:D101" si="4">IF(C67=0,B67*4,IF(C67=1,B67*3,IF(C67=2,B67*2)))</f>
        <v>1</v>
      </c>
    </row>
    <row r="68" spans="1:4" x14ac:dyDescent="0.25">
      <c r="A68" s="2" t="s">
        <v>69</v>
      </c>
      <c r="B68" s="4">
        <v>1</v>
      </c>
      <c r="C68">
        <f t="shared" si="3"/>
        <v>2</v>
      </c>
      <c r="D68">
        <f t="shared" si="4"/>
        <v>2</v>
      </c>
    </row>
    <row r="69" spans="1:4" x14ac:dyDescent="0.25">
      <c r="A69" s="2" t="s">
        <v>70</v>
      </c>
      <c r="B69" s="4">
        <v>2</v>
      </c>
      <c r="C69">
        <f t="shared" si="3"/>
        <v>2</v>
      </c>
      <c r="D69">
        <f t="shared" si="4"/>
        <v>4</v>
      </c>
    </row>
    <row r="70" spans="1:4" x14ac:dyDescent="0.25">
      <c r="A70" s="2" t="s">
        <v>71</v>
      </c>
      <c r="B70" s="4">
        <v>3</v>
      </c>
      <c r="C70">
        <f t="shared" si="3"/>
        <v>2</v>
      </c>
      <c r="D70">
        <f t="shared" si="4"/>
        <v>6</v>
      </c>
    </row>
    <row r="71" spans="1:4" x14ac:dyDescent="0.25">
      <c r="A71" s="2" t="s">
        <v>72</v>
      </c>
      <c r="B71" s="4">
        <v>4</v>
      </c>
      <c r="C71">
        <f t="shared" si="3"/>
        <v>2</v>
      </c>
      <c r="D71">
        <f t="shared" si="4"/>
        <v>8</v>
      </c>
    </row>
    <row r="72" spans="1:4" x14ac:dyDescent="0.25">
      <c r="A72" s="2" t="s">
        <v>73</v>
      </c>
      <c r="B72" s="4">
        <v>5</v>
      </c>
      <c r="C72">
        <f t="shared" si="3"/>
        <v>2</v>
      </c>
      <c r="D72">
        <f t="shared" si="4"/>
        <v>10</v>
      </c>
    </row>
    <row r="73" spans="1:4" x14ac:dyDescent="0.25">
      <c r="A73" s="2" t="s">
        <v>74</v>
      </c>
      <c r="B73" s="4">
        <v>6</v>
      </c>
      <c r="C73">
        <f t="shared" si="3"/>
        <v>0</v>
      </c>
      <c r="D73">
        <f t="shared" si="4"/>
        <v>24</v>
      </c>
    </row>
    <row r="74" spans="1:4" x14ac:dyDescent="0.25">
      <c r="A74" s="2" t="s">
        <v>75</v>
      </c>
      <c r="B74" s="4">
        <v>7</v>
      </c>
      <c r="C74">
        <f t="shared" si="3"/>
        <v>0</v>
      </c>
      <c r="D74">
        <f t="shared" si="4"/>
        <v>28</v>
      </c>
    </row>
    <row r="75" spans="1:4" x14ac:dyDescent="0.25">
      <c r="A75" s="2" t="s">
        <v>76</v>
      </c>
      <c r="B75" s="4">
        <v>8</v>
      </c>
      <c r="C75">
        <f t="shared" si="3"/>
        <v>0</v>
      </c>
      <c r="D75">
        <f t="shared" si="4"/>
        <v>32</v>
      </c>
    </row>
    <row r="76" spans="1:4" x14ac:dyDescent="0.25">
      <c r="A76" s="2" t="s">
        <v>77</v>
      </c>
      <c r="B76" s="4">
        <v>9</v>
      </c>
      <c r="C76">
        <f t="shared" si="3"/>
        <v>1</v>
      </c>
      <c r="D76">
        <f t="shared" si="4"/>
        <v>27</v>
      </c>
    </row>
    <row r="77" spans="1:4" x14ac:dyDescent="0.25">
      <c r="A77" s="2" t="s">
        <v>78</v>
      </c>
      <c r="B77" s="4">
        <v>10</v>
      </c>
      <c r="C77">
        <f t="shared" si="3"/>
        <v>1</v>
      </c>
      <c r="D77">
        <f t="shared" si="4"/>
        <v>30</v>
      </c>
    </row>
    <row r="78" spans="1:4" x14ac:dyDescent="0.25">
      <c r="A78" s="2" t="s">
        <v>79</v>
      </c>
      <c r="B78" s="4">
        <v>0.5</v>
      </c>
      <c r="C78">
        <f t="shared" si="3"/>
        <v>1</v>
      </c>
      <c r="D78">
        <f t="shared" si="4"/>
        <v>1.5</v>
      </c>
    </row>
    <row r="79" spans="1:4" x14ac:dyDescent="0.25">
      <c r="A79" s="2" t="s">
        <v>80</v>
      </c>
      <c r="B79" s="4">
        <v>1</v>
      </c>
      <c r="C79">
        <f t="shared" si="3"/>
        <v>1</v>
      </c>
      <c r="D79">
        <f t="shared" si="4"/>
        <v>3</v>
      </c>
    </row>
    <row r="80" spans="1:4" x14ac:dyDescent="0.25">
      <c r="A80" s="2" t="s">
        <v>81</v>
      </c>
      <c r="B80" s="4">
        <v>2</v>
      </c>
      <c r="C80">
        <f t="shared" si="3"/>
        <v>2</v>
      </c>
      <c r="D80">
        <f t="shared" si="4"/>
        <v>4</v>
      </c>
    </row>
    <row r="81" spans="1:4" x14ac:dyDescent="0.25">
      <c r="A81" s="2" t="s">
        <v>82</v>
      </c>
      <c r="B81" s="4">
        <v>3</v>
      </c>
      <c r="C81">
        <f t="shared" si="3"/>
        <v>2</v>
      </c>
      <c r="D81">
        <f t="shared" si="4"/>
        <v>6</v>
      </c>
    </row>
    <row r="82" spans="1:4" x14ac:dyDescent="0.25">
      <c r="A82" s="2" t="s">
        <v>83</v>
      </c>
      <c r="B82" s="4">
        <v>4</v>
      </c>
      <c r="C82">
        <f t="shared" si="3"/>
        <v>2</v>
      </c>
      <c r="D82">
        <f t="shared" si="4"/>
        <v>8</v>
      </c>
    </row>
    <row r="83" spans="1:4" x14ac:dyDescent="0.25">
      <c r="A83" s="2" t="s">
        <v>84</v>
      </c>
      <c r="B83" s="4">
        <v>5</v>
      </c>
      <c r="C83">
        <f t="shared" si="3"/>
        <v>2</v>
      </c>
      <c r="D83">
        <f t="shared" si="4"/>
        <v>10</v>
      </c>
    </row>
    <row r="84" spans="1:4" x14ac:dyDescent="0.25">
      <c r="A84" s="2" t="s">
        <v>85</v>
      </c>
      <c r="B84" s="4">
        <v>6</v>
      </c>
      <c r="C84">
        <f t="shared" si="3"/>
        <v>2</v>
      </c>
      <c r="D84">
        <f t="shared" si="4"/>
        <v>12</v>
      </c>
    </row>
    <row r="85" spans="1:4" x14ac:dyDescent="0.25">
      <c r="A85" s="2" t="s">
        <v>86</v>
      </c>
      <c r="B85" s="4">
        <v>7</v>
      </c>
      <c r="C85">
        <f t="shared" si="3"/>
        <v>2</v>
      </c>
      <c r="D85">
        <f t="shared" si="4"/>
        <v>14</v>
      </c>
    </row>
    <row r="86" spans="1:4" x14ac:dyDescent="0.25">
      <c r="A86" s="2" t="s">
        <v>87</v>
      </c>
      <c r="B86" s="4">
        <v>8</v>
      </c>
      <c r="C86">
        <f t="shared" si="3"/>
        <v>0</v>
      </c>
      <c r="D86">
        <f t="shared" si="4"/>
        <v>32</v>
      </c>
    </row>
    <row r="87" spans="1:4" x14ac:dyDescent="0.25">
      <c r="A87" s="2" t="s">
        <v>88</v>
      </c>
      <c r="B87" s="4">
        <v>9</v>
      </c>
      <c r="C87">
        <f t="shared" si="3"/>
        <v>0</v>
      </c>
      <c r="D87">
        <f t="shared" si="4"/>
        <v>36</v>
      </c>
    </row>
    <row r="88" spans="1:4" x14ac:dyDescent="0.25">
      <c r="A88" s="2" t="s">
        <v>89</v>
      </c>
      <c r="B88" s="4">
        <v>10</v>
      </c>
      <c r="C88">
        <f t="shared" si="3"/>
        <v>0</v>
      </c>
      <c r="D88">
        <f t="shared" si="4"/>
        <v>40</v>
      </c>
    </row>
    <row r="89" spans="1:4" x14ac:dyDescent="0.25">
      <c r="A89" s="2" t="s">
        <v>90</v>
      </c>
      <c r="B89" s="4">
        <v>0.5</v>
      </c>
      <c r="C89">
        <f t="shared" si="3"/>
        <v>1</v>
      </c>
      <c r="D89">
        <f t="shared" si="4"/>
        <v>1.5</v>
      </c>
    </row>
    <row r="90" spans="1:4" x14ac:dyDescent="0.25">
      <c r="A90" s="2" t="s">
        <v>91</v>
      </c>
      <c r="B90" s="4">
        <v>1</v>
      </c>
      <c r="C90">
        <f t="shared" si="3"/>
        <v>1</v>
      </c>
      <c r="D90">
        <f t="shared" si="4"/>
        <v>3</v>
      </c>
    </row>
    <row r="91" spans="1:4" x14ac:dyDescent="0.25">
      <c r="A91" s="2" t="s">
        <v>92</v>
      </c>
      <c r="B91" s="4">
        <v>2</v>
      </c>
      <c r="C91">
        <f t="shared" si="3"/>
        <v>1</v>
      </c>
      <c r="D91">
        <f t="shared" si="4"/>
        <v>6</v>
      </c>
    </row>
    <row r="92" spans="1:4" x14ac:dyDescent="0.25">
      <c r="A92" s="2" t="s">
        <v>93</v>
      </c>
      <c r="B92" s="4">
        <v>3</v>
      </c>
      <c r="C92">
        <f t="shared" si="3"/>
        <v>1</v>
      </c>
      <c r="D92">
        <f t="shared" si="4"/>
        <v>9</v>
      </c>
    </row>
    <row r="93" spans="1:4" x14ac:dyDescent="0.25">
      <c r="A93" s="2" t="s">
        <v>94</v>
      </c>
      <c r="B93" s="4">
        <v>4</v>
      </c>
      <c r="C93">
        <f t="shared" si="3"/>
        <v>2</v>
      </c>
      <c r="D93">
        <f t="shared" si="4"/>
        <v>8</v>
      </c>
    </row>
    <row r="94" spans="1:4" x14ac:dyDescent="0.25">
      <c r="A94" s="2" t="s">
        <v>95</v>
      </c>
      <c r="B94" s="4">
        <v>5</v>
      </c>
      <c r="C94">
        <f t="shared" si="3"/>
        <v>2</v>
      </c>
      <c r="D94">
        <f t="shared" si="4"/>
        <v>10</v>
      </c>
    </row>
    <row r="95" spans="1:4" x14ac:dyDescent="0.25">
      <c r="A95" s="2" t="s">
        <v>96</v>
      </c>
      <c r="B95" s="4">
        <v>6</v>
      </c>
      <c r="C95">
        <f t="shared" si="3"/>
        <v>2</v>
      </c>
      <c r="D95">
        <f t="shared" si="4"/>
        <v>12</v>
      </c>
    </row>
    <row r="96" spans="1:4" x14ac:dyDescent="0.25">
      <c r="A96" s="2" t="s">
        <v>97</v>
      </c>
      <c r="B96" s="4">
        <v>7</v>
      </c>
      <c r="C96">
        <f t="shared" si="3"/>
        <v>2</v>
      </c>
      <c r="D96">
        <f t="shared" si="4"/>
        <v>14</v>
      </c>
    </row>
    <row r="97" spans="1:4" x14ac:dyDescent="0.25">
      <c r="A97" s="2" t="s">
        <v>98</v>
      </c>
      <c r="B97" s="4">
        <v>8</v>
      </c>
      <c r="C97">
        <f t="shared" si="3"/>
        <v>2</v>
      </c>
      <c r="D97">
        <f t="shared" si="4"/>
        <v>16</v>
      </c>
    </row>
    <row r="98" spans="1:4" x14ac:dyDescent="0.25">
      <c r="A98" s="2" t="s">
        <v>99</v>
      </c>
      <c r="B98" s="4">
        <v>9</v>
      </c>
      <c r="C98">
        <f t="shared" si="3"/>
        <v>2</v>
      </c>
      <c r="D98">
        <f t="shared" si="4"/>
        <v>18</v>
      </c>
    </row>
    <row r="99" spans="1:4" x14ac:dyDescent="0.25">
      <c r="A99" s="2" t="s">
        <v>100</v>
      </c>
      <c r="B99" s="4">
        <v>10</v>
      </c>
      <c r="C99">
        <f t="shared" si="3"/>
        <v>0</v>
      </c>
      <c r="D99">
        <f t="shared" si="4"/>
        <v>40</v>
      </c>
    </row>
    <row r="100" spans="1:4" x14ac:dyDescent="0.25">
      <c r="A100" s="2" t="s">
        <v>101</v>
      </c>
      <c r="B100" s="4">
        <v>0.5</v>
      </c>
      <c r="C100">
        <f t="shared" si="3"/>
        <v>0</v>
      </c>
      <c r="D100">
        <f t="shared" si="4"/>
        <v>2</v>
      </c>
    </row>
    <row r="101" spans="1:4" x14ac:dyDescent="0.25">
      <c r="A101" s="2" t="s">
        <v>102</v>
      </c>
      <c r="B101" s="4">
        <v>1</v>
      </c>
      <c r="C101">
        <f t="shared" si="3"/>
        <v>0</v>
      </c>
      <c r="D101">
        <f t="shared" si="4"/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47"/>
  <sheetViews>
    <sheetView tabSelected="1" workbookViewId="0">
      <selection activeCell="I5" sqref="I5"/>
    </sheetView>
  </sheetViews>
  <sheetFormatPr defaultColWidth="12.6640625" defaultRowHeight="15.75" customHeight="1" x14ac:dyDescent="0.25"/>
  <cols>
    <col min="2" max="2" width="25.33203125" customWidth="1"/>
    <col min="3" max="3" width="20.109375" customWidth="1"/>
    <col min="4" max="4" width="22.77734375" customWidth="1"/>
    <col min="7" max="7" width="16.77734375" bestFit="1" customWidth="1"/>
  </cols>
  <sheetData>
    <row r="1" spans="1:26" x14ac:dyDescent="0.25">
      <c r="A1" s="1" t="s">
        <v>103</v>
      </c>
      <c r="B1" s="1" t="s">
        <v>104</v>
      </c>
      <c r="C1" s="1" t="s">
        <v>3</v>
      </c>
      <c r="D1" s="1" t="s">
        <v>110</v>
      </c>
      <c r="E1" s="1" t="s">
        <v>111</v>
      </c>
      <c r="F1" s="1" t="s">
        <v>112</v>
      </c>
      <c r="G1" s="1" t="s">
        <v>113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2" t="s">
        <v>105</v>
      </c>
      <c r="B2" s="2">
        <v>55</v>
      </c>
      <c r="D2" s="2" t="s">
        <v>105</v>
      </c>
      <c r="E2">
        <f>COUNTIF(A:A,D2)</f>
        <v>11</v>
      </c>
      <c r="F2">
        <f>SUMIF(A:A,D2,B:B)</f>
        <v>525</v>
      </c>
      <c r="G2">
        <f>SUMIFS(C:C,A:A,D2,B:B,B:B&gt;80)</f>
        <v>0</v>
      </c>
    </row>
    <row r="3" spans="1:26" x14ac:dyDescent="0.25">
      <c r="A3" s="2" t="s">
        <v>106</v>
      </c>
      <c r="B3" s="2">
        <v>70</v>
      </c>
      <c r="C3" s="2">
        <v>80</v>
      </c>
      <c r="D3" s="2" t="s">
        <v>106</v>
      </c>
      <c r="E3">
        <f t="shared" ref="E3:E6" si="0">COUNTIF(A:A,D3)</f>
        <v>14</v>
      </c>
      <c r="F3">
        <f t="shared" ref="F3:F6" si="1">SUMIF(A:A,D3,B:B)</f>
        <v>755</v>
      </c>
      <c r="G3">
        <f t="shared" ref="G3:G6" si="2">SUMIFS(C:C,A:A,D3,B:B,B:B&gt;80)</f>
        <v>0</v>
      </c>
    </row>
    <row r="4" spans="1:26" x14ac:dyDescent="0.25">
      <c r="A4" s="2" t="s">
        <v>107</v>
      </c>
      <c r="B4" s="2">
        <v>40</v>
      </c>
      <c r="C4" s="2">
        <v>60</v>
      </c>
      <c r="D4" s="2" t="s">
        <v>107</v>
      </c>
      <c r="E4">
        <f t="shared" si="0"/>
        <v>11</v>
      </c>
      <c r="F4">
        <f t="shared" si="1"/>
        <v>555</v>
      </c>
      <c r="G4">
        <f t="shared" si="2"/>
        <v>0</v>
      </c>
    </row>
    <row r="5" spans="1:26" x14ac:dyDescent="0.25">
      <c r="A5" s="2" t="s">
        <v>105</v>
      </c>
      <c r="B5" s="2">
        <v>20</v>
      </c>
      <c r="C5" s="2">
        <v>100</v>
      </c>
      <c r="D5" s="2" t="s">
        <v>108</v>
      </c>
      <c r="E5">
        <f t="shared" si="0"/>
        <v>7</v>
      </c>
      <c r="F5">
        <f t="shared" si="1"/>
        <v>380</v>
      </c>
      <c r="G5">
        <f t="shared" si="2"/>
        <v>0</v>
      </c>
    </row>
    <row r="6" spans="1:26" x14ac:dyDescent="0.25">
      <c r="A6" s="2" t="s">
        <v>108</v>
      </c>
      <c r="B6" s="2">
        <v>90</v>
      </c>
      <c r="C6" s="2">
        <v>30</v>
      </c>
      <c r="D6" s="2" t="s">
        <v>109</v>
      </c>
      <c r="E6">
        <f t="shared" si="0"/>
        <v>3</v>
      </c>
      <c r="F6">
        <f t="shared" si="1"/>
        <v>160</v>
      </c>
      <c r="G6">
        <f t="shared" si="2"/>
        <v>0</v>
      </c>
    </row>
    <row r="7" spans="1:26" x14ac:dyDescent="0.25">
      <c r="A7" s="2" t="s">
        <v>106</v>
      </c>
      <c r="B7" s="2">
        <v>50</v>
      </c>
      <c r="C7" s="2">
        <v>40</v>
      </c>
    </row>
    <row r="8" spans="1:26" x14ac:dyDescent="0.25">
      <c r="A8" s="2" t="s">
        <v>107</v>
      </c>
      <c r="B8" s="2">
        <v>60</v>
      </c>
      <c r="C8" s="2">
        <v>55</v>
      </c>
    </row>
    <row r="9" spans="1:26" x14ac:dyDescent="0.25">
      <c r="A9" s="2" t="s">
        <v>105</v>
      </c>
      <c r="B9" s="2">
        <v>45</v>
      </c>
    </row>
    <row r="10" spans="1:26" x14ac:dyDescent="0.25">
      <c r="A10" s="2" t="s">
        <v>106</v>
      </c>
      <c r="B10" s="2">
        <v>25</v>
      </c>
      <c r="C10" s="2">
        <v>85</v>
      </c>
    </row>
    <row r="11" spans="1:26" x14ac:dyDescent="0.25">
      <c r="A11" s="2" t="s">
        <v>108</v>
      </c>
      <c r="B11" s="2">
        <v>35</v>
      </c>
      <c r="C11" s="2">
        <v>50</v>
      </c>
    </row>
    <row r="12" spans="1:26" x14ac:dyDescent="0.25">
      <c r="A12" s="2" t="s">
        <v>109</v>
      </c>
      <c r="B12" s="2">
        <v>60</v>
      </c>
      <c r="C12" s="2">
        <v>95</v>
      </c>
    </row>
    <row r="13" spans="1:26" x14ac:dyDescent="0.25">
      <c r="A13" s="2" t="s">
        <v>107</v>
      </c>
      <c r="B13" s="2">
        <v>80</v>
      </c>
    </row>
    <row r="14" spans="1:26" x14ac:dyDescent="0.25">
      <c r="A14" s="2" t="s">
        <v>106</v>
      </c>
      <c r="B14" s="2">
        <v>40</v>
      </c>
      <c r="C14" s="2">
        <v>45</v>
      </c>
    </row>
    <row r="15" spans="1:26" x14ac:dyDescent="0.25">
      <c r="A15" s="2" t="s">
        <v>105</v>
      </c>
      <c r="B15" s="2">
        <v>65</v>
      </c>
      <c r="C15" s="2">
        <v>65</v>
      </c>
    </row>
    <row r="16" spans="1:26" x14ac:dyDescent="0.25">
      <c r="A16" s="2" t="s">
        <v>107</v>
      </c>
      <c r="B16" s="2">
        <v>55</v>
      </c>
      <c r="C16" s="2">
        <v>30</v>
      </c>
    </row>
    <row r="17" spans="1:3" x14ac:dyDescent="0.25">
      <c r="A17" s="2" t="s">
        <v>108</v>
      </c>
      <c r="B17" s="2">
        <v>70</v>
      </c>
    </row>
    <row r="18" spans="1:3" x14ac:dyDescent="0.25">
      <c r="A18" s="2" t="s">
        <v>106</v>
      </c>
      <c r="B18" s="2">
        <v>45</v>
      </c>
      <c r="C18" s="2">
        <v>80</v>
      </c>
    </row>
    <row r="19" spans="1:3" x14ac:dyDescent="0.25">
      <c r="A19" s="2" t="s">
        <v>105</v>
      </c>
      <c r="B19" s="2">
        <v>25</v>
      </c>
      <c r="C19" s="2">
        <v>60</v>
      </c>
    </row>
    <row r="20" spans="1:3" x14ac:dyDescent="0.25">
      <c r="A20" s="2" t="s">
        <v>106</v>
      </c>
      <c r="B20" s="2">
        <v>35</v>
      </c>
    </row>
    <row r="21" spans="1:3" x14ac:dyDescent="0.25">
      <c r="A21" s="2" t="s">
        <v>107</v>
      </c>
      <c r="B21" s="2">
        <v>60</v>
      </c>
      <c r="C21" s="2">
        <v>30</v>
      </c>
    </row>
    <row r="22" spans="1:3" x14ac:dyDescent="0.25">
      <c r="A22" s="2" t="s">
        <v>105</v>
      </c>
      <c r="B22" s="2">
        <v>70</v>
      </c>
      <c r="C22" s="2">
        <v>40</v>
      </c>
    </row>
    <row r="23" spans="1:3" x14ac:dyDescent="0.25">
      <c r="A23" s="2" t="s">
        <v>106</v>
      </c>
      <c r="B23" s="2">
        <v>45</v>
      </c>
      <c r="C23" s="2">
        <v>55</v>
      </c>
    </row>
    <row r="24" spans="1:3" x14ac:dyDescent="0.25">
      <c r="A24" s="2" t="s">
        <v>108</v>
      </c>
      <c r="B24" s="2">
        <v>25</v>
      </c>
      <c r="C24" s="2">
        <v>70</v>
      </c>
    </row>
    <row r="25" spans="1:3" x14ac:dyDescent="0.25">
      <c r="A25" s="2" t="s">
        <v>109</v>
      </c>
      <c r="B25" s="2">
        <v>35</v>
      </c>
    </row>
    <row r="26" spans="1:3" x14ac:dyDescent="0.25">
      <c r="A26" s="2" t="s">
        <v>107</v>
      </c>
      <c r="B26" s="2">
        <v>60</v>
      </c>
      <c r="C26" s="2">
        <v>50</v>
      </c>
    </row>
    <row r="27" spans="1:3" x14ac:dyDescent="0.25">
      <c r="A27" s="2" t="s">
        <v>106</v>
      </c>
      <c r="B27" s="2">
        <v>80</v>
      </c>
      <c r="C27" s="2">
        <v>95</v>
      </c>
    </row>
    <row r="28" spans="1:3" x14ac:dyDescent="0.25">
      <c r="A28" s="2" t="s">
        <v>105</v>
      </c>
      <c r="B28" s="2">
        <v>40</v>
      </c>
      <c r="C28" s="2">
        <v>75</v>
      </c>
    </row>
    <row r="29" spans="1:3" x14ac:dyDescent="0.25">
      <c r="A29" s="2" t="s">
        <v>107</v>
      </c>
      <c r="B29" s="2">
        <v>65</v>
      </c>
      <c r="C29" s="2">
        <v>45</v>
      </c>
    </row>
    <row r="30" spans="1:3" x14ac:dyDescent="0.25">
      <c r="A30" s="2" t="s">
        <v>106</v>
      </c>
      <c r="B30" s="2">
        <v>55</v>
      </c>
      <c r="C30" s="2">
        <v>65</v>
      </c>
    </row>
    <row r="31" spans="1:3" x14ac:dyDescent="0.25">
      <c r="A31" s="2" t="s">
        <v>108</v>
      </c>
      <c r="B31" s="2">
        <v>70</v>
      </c>
      <c r="C31" s="2">
        <v>30</v>
      </c>
    </row>
    <row r="32" spans="1:3" x14ac:dyDescent="0.25">
      <c r="A32" s="2" t="s">
        <v>105</v>
      </c>
      <c r="B32" s="2">
        <v>45</v>
      </c>
    </row>
    <row r="33" spans="1:3" x14ac:dyDescent="0.25">
      <c r="A33" s="2" t="s">
        <v>106</v>
      </c>
      <c r="B33" s="2">
        <v>25</v>
      </c>
      <c r="C33" s="2">
        <v>80</v>
      </c>
    </row>
    <row r="34" spans="1:3" x14ac:dyDescent="0.25">
      <c r="A34" s="2" t="s">
        <v>107</v>
      </c>
      <c r="B34" s="2">
        <v>35</v>
      </c>
      <c r="C34" s="2">
        <v>60</v>
      </c>
    </row>
    <row r="35" spans="1:3" x14ac:dyDescent="0.25">
      <c r="A35" s="2" t="s">
        <v>105</v>
      </c>
      <c r="B35" s="2">
        <v>60</v>
      </c>
      <c r="C35" s="2">
        <v>100</v>
      </c>
    </row>
    <row r="36" spans="1:3" x14ac:dyDescent="0.25">
      <c r="A36" s="2" t="s">
        <v>106</v>
      </c>
      <c r="B36" s="2">
        <v>80</v>
      </c>
      <c r="C36" s="2">
        <v>30</v>
      </c>
    </row>
    <row r="37" spans="1:3" x14ac:dyDescent="0.25">
      <c r="A37" s="2" t="s">
        <v>108</v>
      </c>
      <c r="B37" s="2">
        <v>40</v>
      </c>
    </row>
    <row r="38" spans="1:3" x14ac:dyDescent="0.25">
      <c r="A38" s="2" t="s">
        <v>109</v>
      </c>
      <c r="B38" s="2">
        <v>65</v>
      </c>
      <c r="C38" s="2">
        <v>55</v>
      </c>
    </row>
    <row r="39" spans="1:3" x14ac:dyDescent="0.25">
      <c r="A39" s="2" t="s">
        <v>107</v>
      </c>
      <c r="B39" s="2">
        <v>55</v>
      </c>
      <c r="C39" s="2">
        <v>70</v>
      </c>
    </row>
    <row r="40" spans="1:3" x14ac:dyDescent="0.25">
      <c r="A40" s="2" t="s">
        <v>106</v>
      </c>
      <c r="B40" s="2">
        <v>70</v>
      </c>
      <c r="C40" s="2">
        <v>85</v>
      </c>
    </row>
    <row r="41" spans="1:3" x14ac:dyDescent="0.25">
      <c r="A41" s="2" t="s">
        <v>105</v>
      </c>
      <c r="B41" s="2">
        <v>40</v>
      </c>
      <c r="C41" s="2">
        <v>50</v>
      </c>
    </row>
    <row r="42" spans="1:3" x14ac:dyDescent="0.25">
      <c r="A42" s="2" t="s">
        <v>107</v>
      </c>
      <c r="B42" s="2">
        <v>20</v>
      </c>
      <c r="C42" s="2">
        <v>95</v>
      </c>
    </row>
    <row r="43" spans="1:3" x14ac:dyDescent="0.25">
      <c r="A43" s="2" t="s">
        <v>106</v>
      </c>
      <c r="B43" s="2">
        <v>90</v>
      </c>
      <c r="C43" s="2">
        <v>75</v>
      </c>
    </row>
    <row r="44" spans="1:3" x14ac:dyDescent="0.25">
      <c r="A44" s="2" t="s">
        <v>108</v>
      </c>
      <c r="B44" s="2">
        <v>50</v>
      </c>
      <c r="C44" s="2">
        <v>45</v>
      </c>
    </row>
    <row r="45" spans="1:3" x14ac:dyDescent="0.25">
      <c r="A45" s="2" t="s">
        <v>105</v>
      </c>
      <c r="B45" s="2">
        <v>60</v>
      </c>
      <c r="C45" s="2">
        <v>65</v>
      </c>
    </row>
    <row r="46" spans="1:3" x14ac:dyDescent="0.25">
      <c r="A46" s="2" t="s">
        <v>106</v>
      </c>
      <c r="B46" s="2">
        <v>45</v>
      </c>
    </row>
    <row r="47" spans="1:3" x14ac:dyDescent="0.25">
      <c r="A47" s="2" t="s">
        <v>107</v>
      </c>
      <c r="B47" s="2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Parcheggio</vt:lpstr>
      <vt:lpstr>Frutta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 Bridges</cp:lastModifiedBy>
  <dcterms:modified xsi:type="dcterms:W3CDTF">2024-11-06T19:09:48Z</dcterms:modified>
</cp:coreProperties>
</file>